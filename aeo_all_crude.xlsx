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ach\Documents\data_projects\EIA_data_pulls\"/>
    </mc:Choice>
  </mc:AlternateContent>
  <bookViews>
    <workbookView xWindow="0" yWindow="0" windowWidth="38400" windowHeight="177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U19" i="1" l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U18" i="1" l="1"/>
  <c r="T18" i="1"/>
  <c r="S18" i="1"/>
  <c r="S17" i="1"/>
  <c r="R18" i="1"/>
  <c r="Q18" i="1"/>
  <c r="R17" i="1"/>
  <c r="Q17" i="1"/>
  <c r="R16" i="1"/>
  <c r="Q16" i="1"/>
  <c r="Q15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N13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L11" i="1"/>
  <c r="K18" i="1"/>
  <c r="K17" i="1"/>
  <c r="K16" i="1"/>
  <c r="K15" i="1"/>
  <c r="K14" i="1"/>
  <c r="K13" i="1"/>
  <c r="K12" i="1"/>
  <c r="K11" i="1"/>
  <c r="K10" i="1"/>
  <c r="J18" i="1"/>
  <c r="J17" i="1"/>
  <c r="J16" i="1"/>
  <c r="J15" i="1"/>
  <c r="J14" i="1"/>
  <c r="J13" i="1"/>
  <c r="J12" i="1"/>
  <c r="J11" i="1"/>
  <c r="J10" i="1"/>
  <c r="I18" i="1"/>
  <c r="I17" i="1"/>
  <c r="I16" i="1"/>
  <c r="I15" i="1"/>
  <c r="I14" i="1"/>
  <c r="I13" i="1"/>
  <c r="I12" i="1"/>
  <c r="I11" i="1"/>
  <c r="I10" i="1"/>
  <c r="I9" i="1"/>
  <c r="H18" i="1"/>
  <c r="H17" i="1"/>
  <c r="H16" i="1"/>
  <c r="H15" i="1"/>
  <c r="H14" i="1"/>
  <c r="H13" i="1"/>
  <c r="H12" i="1"/>
  <c r="H11" i="1"/>
  <c r="H10" i="1"/>
  <c r="H9" i="1"/>
  <c r="H8" i="1"/>
  <c r="G18" i="1"/>
  <c r="G17" i="1"/>
  <c r="G16" i="1"/>
  <c r="G15" i="1"/>
  <c r="G14" i="1"/>
  <c r="G13" i="1"/>
  <c r="G12" i="1"/>
  <c r="G11" i="1"/>
  <c r="G10" i="1"/>
  <c r="G9" i="1"/>
  <c r="G8" i="1"/>
  <c r="G7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18" i="1"/>
  <c r="B17" i="1"/>
  <c r="B16" i="1"/>
  <c r="B15" i="1"/>
  <c r="B14" i="1"/>
  <c r="B13" i="1"/>
  <c r="B12" i="1"/>
  <c r="B11" i="1"/>
  <c r="B10" i="1"/>
  <c r="B9" i="1"/>
  <c r="B8" i="1"/>
  <c r="B6" i="1"/>
  <c r="B5" i="1"/>
  <c r="B4" i="1"/>
  <c r="B3" i="1"/>
  <c r="B7" i="1"/>
</calcChain>
</file>

<file path=xl/sharedStrings.xml><?xml version="1.0" encoding="utf-8"?>
<sst xmlns="http://schemas.openxmlformats.org/spreadsheetml/2006/main" count="66" uniqueCount="66">
  <si>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</si>
  <si>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</si>
  <si>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</si>
  <si>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</si>
  <si>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</si>
  <si>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</si>
  <si>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</si>
  <si>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</si>
  <si>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</si>
  <si>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</si>
  <si>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</si>
  <si>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</si>
  <si>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</si>
  <si>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</si>
  <si>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</si>
  <si>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</si>
  <si>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</si>
  <si>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</si>
  <si>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</si>
  <si>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</si>
  <si>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</si>
  <si>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</si>
  <si>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</si>
  <si>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</si>
  <si>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</si>
  <si>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</si>
  <si>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</si>
  <si>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AEO 2009</t>
  </si>
  <si>
    <t>AEO 2010</t>
  </si>
  <si>
    <t>AEO 2011</t>
  </si>
  <si>
    <t>AEO 2012</t>
  </si>
  <si>
    <t>AEO 2013</t>
  </si>
  <si>
    <t>AEO 2014</t>
  </si>
  <si>
    <t>AEO 2015</t>
  </si>
  <si>
    <t>AEO 2016</t>
  </si>
  <si>
    <t>AEO 2017</t>
  </si>
  <si>
    <t>AEO 2018</t>
  </si>
  <si>
    <t>AEO 2019</t>
  </si>
  <si>
    <t>AEO 2020</t>
  </si>
  <si>
    <t>AEO 2021</t>
  </si>
  <si>
    <t>AEO 2022</t>
  </si>
  <si>
    <t>AEO 2023</t>
  </si>
  <si>
    <t>AEO 2025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</si>
  <si>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</si>
  <si>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</si>
  <si>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</si>
  <si>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</si>
  <si>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</si>
  <si>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</si>
  <si>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</si>
  <si>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</si>
  <si>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</si>
  <si>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</si>
  <si>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</si>
  <si>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</si>
  <si>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</si>
  <si>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</si>
  <si>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</si>
  <si>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</si>
  <si>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</si>
  <si>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</si>
  <si>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</si>
  <si>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</si>
  <si>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AEO</t>
  </si>
  <si>
    <t>Actual</t>
  </si>
  <si>
    <t>AEO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</si>
</sst>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"/>
    <numFmt numFmtId="165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Helv"/>
    </font>
    <font>
      <sz val="10"/>
      <name val="Arial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11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165" fontId="19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10" applyNumberFormat="0" applyFont="0" applyProtection="0">
      <alignment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4" fillId="0" borderId="13" applyNumberFormat="0" applyFont="0" applyFill="0" applyProtection="0">
      <alignment wrapText="1"/>
    </xf>
    <xf numFmtId="0" fontId="29" fillId="0" borderId="18">
      <alignment wrapText="1"/>
    </xf>
    <xf numFmtId="0" fontId="24" fillId="0" borderId="0" applyNumberFormat="0" applyProtection="0">
      <alignment vertical="top" wrapText="1"/>
    </xf>
    <xf numFmtId="0" fontId="24" fillId="0" borderId="11" applyNumberFormat="0" applyProtection="0">
      <alignment vertical="top" wrapText="1"/>
    </xf>
    <xf numFmtId="0" fontId="23" fillId="0" borderId="1" applyNumberFormat="0" applyProtection="0">
      <alignment wrapText="1"/>
    </xf>
    <xf numFmtId="0" fontId="23" fillId="0" borderId="12" applyNumberFormat="0" applyProtection="0">
      <alignment wrapText="1"/>
    </xf>
    <xf numFmtId="0" fontId="25" fillId="0" borderId="0" applyNumberFormat="0" applyFill="0" applyBorder="0" applyAlignment="0" applyProtection="0">
      <alignment vertical="top"/>
      <protection locked="0"/>
    </xf>
    <xf numFmtId="0" fontId="28" fillId="0" borderId="17">
      <alignment wrapText="1"/>
    </xf>
    <xf numFmtId="0" fontId="23" fillId="0" borderId="15" applyNumberFormat="0" applyProtection="0">
      <alignment horizontal="left" wrapText="1"/>
    </xf>
    <xf numFmtId="0" fontId="23" fillId="0" borderId="14" applyNumberFormat="0" applyFill="0" applyProtection="0">
      <alignment wrapText="1"/>
    </xf>
    <xf numFmtId="0" fontId="28" fillId="0" borderId="0"/>
    <xf numFmtId="0" fontId="27" fillId="0" borderId="0" applyNumberFormat="0" applyProtection="0">
      <alignment horizontal="left"/>
    </xf>
    <xf numFmtId="0" fontId="1" fillId="0" borderId="0"/>
    <xf numFmtId="165" fontId="2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5" fontId="19" fillId="0" borderId="0" applyFont="0" applyFill="0" applyBorder="0" applyAlignment="0" applyProtection="0"/>
    <xf numFmtId="0" fontId="1" fillId="8" borderId="8" applyNumberFormat="0" applyFont="0" applyAlignment="0" applyProtection="0"/>
    <xf numFmtId="0" fontId="2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29" fillId="0" borderId="19">
      <alignment wrapText="1"/>
    </xf>
    <xf numFmtId="0" fontId="28" fillId="0" borderId="0"/>
    <xf numFmtId="0" fontId="28" fillId="0" borderId="0"/>
    <xf numFmtId="0" fontId="28" fillId="0" borderId="16">
      <alignment wrapText="1"/>
    </xf>
    <xf numFmtId="0" fontId="30" fillId="0" borderId="0">
      <alignment horizontal="left"/>
    </xf>
    <xf numFmtId="0" fontId="29" fillId="0" borderId="19">
      <alignment wrapText="1"/>
    </xf>
    <xf numFmtId="0" fontId="28" fillId="0" borderId="17">
      <alignment wrapText="1"/>
    </xf>
    <xf numFmtId="0" fontId="28" fillId="0" borderId="16">
      <alignment wrapText="1"/>
    </xf>
    <xf numFmtId="0" fontId="28" fillId="0" borderId="0"/>
    <xf numFmtId="0" fontId="28" fillId="0" borderId="16" applyNumberFormat="0" applyFont="0" applyProtection="0">
      <alignment wrapText="1"/>
    </xf>
    <xf numFmtId="0" fontId="28" fillId="0" borderId="0" applyNumberFormat="0" applyFill="0" applyBorder="0" applyAlignment="0" applyProtection="0"/>
    <xf numFmtId="0" fontId="28" fillId="0" borderId="17" applyNumberFormat="0" applyProtection="0">
      <alignment wrapText="1"/>
    </xf>
    <xf numFmtId="0" fontId="29" fillId="0" borderId="18" applyNumberFormat="0" applyProtection="0">
      <alignment wrapText="1"/>
    </xf>
    <xf numFmtId="0" fontId="29" fillId="0" borderId="19" applyNumberFormat="0" applyProtection="0">
      <alignment wrapText="1"/>
    </xf>
    <xf numFmtId="0" fontId="30" fillId="0" borderId="0" applyNumberFormat="0" applyProtection="0">
      <alignment horizontal="left"/>
    </xf>
    <xf numFmtId="0" fontId="1" fillId="0" borderId="0"/>
    <xf numFmtId="0" fontId="29" fillId="0" borderId="18">
      <alignment wrapText="1"/>
    </xf>
    <xf numFmtId="0" fontId="30" fillId="0" borderId="0">
      <alignment horizontal="left"/>
    </xf>
  </cellStyleXfs>
  <cellXfs count="20">
    <xf numFmtId="0" fontId="0" fillId="0" borderId="0" xfId="0"/>
    <xf numFmtId="0" fontId="18" fillId="0" borderId="0" xfId="42" applyAlignment="1" applyProtection="1">
      <alignment horizontal="right"/>
    </xf>
    <xf numFmtId="164" fontId="0" fillId="0" borderId="0" xfId="0" applyNumberFormat="1" applyProtection="1"/>
    <xf numFmtId="0" fontId="18" fillId="0" borderId="0" xfId="42" applyAlignment="1" applyProtection="1">
      <alignment horizontal="right"/>
    </xf>
    <xf numFmtId="2" fontId="0" fillId="0" borderId="0" xfId="0" applyNumberFormat="1"/>
    <xf numFmtId="2" fontId="19" fillId="0" borderId="0" xfId="43" applyNumberFormat="1"/>
    <xf numFmtId="0" fontId="0" fillId="0" borderId="0" xfId="0"/>
    <xf numFmtId="2" fontId="24" fillId="0" borderId="10" xfId="48" applyNumberFormat="1" applyAlignment="1">
      <alignment horizontal="right" wrapText="1"/>
    </xf>
    <xf numFmtId="4" fontId="32" fillId="0" borderId="0" xfId="0" applyNumberFormat="1" applyFont="1"/>
    <xf numFmtId="2" fontId="19" fillId="0" borderId="0" xfId="43" applyNumberFormat="1"/>
    <xf numFmtId="2" fontId="19" fillId="0" borderId="0" xfId="43" applyNumberFormat="1"/>
    <xf numFmtId="2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4" fontId="28" fillId="0" borderId="16" xfId="102" applyNumberFormat="1" applyFont="1" applyFill="1" applyAlignment="1">
      <alignment horizontal="right" wrapText="1"/>
    </xf>
    <xf numFmtId="3" fontId="28" fillId="0" borderId="16" xfId="102" applyNumberFormat="1" applyFont="1" applyFill="1" applyAlignment="1">
      <alignment horizontal="right" wrapText="1"/>
    </xf>
    <xf numFmtId="3" fontId="28" fillId="0" borderId="16" xfId="100" applyNumberFormat="1" applyFont="1" applyAlignment="1">
      <alignment horizontal="right" wrapText="1"/>
    </xf>
    <xf numFmtId="3" fontId="28" fillId="0" borderId="16" xfId="102" applyNumberFormat="1" applyFont="1" applyFill="1" applyAlignment="1">
      <alignment horizontal="right" wrapText="1"/>
    </xf>
    <xf numFmtId="3" fontId="31" fillId="0" borderId="16" xfId="100" applyNumberFormat="1" applyFont="1" applyAlignment="1">
      <alignment horizontal="right" wrapText="1"/>
    </xf>
  </cellXfs>
  <cellStyles count="111">
    <cellStyle name="20% - Accent1" xfId="19" builtinId="30" customBuiltin="1"/>
    <cellStyle name="20% - Accent1 2" xfId="65"/>
    <cellStyle name="20% - Accent1 3" xfId="80"/>
    <cellStyle name="20% - Accent2" xfId="23" builtinId="34" customBuiltin="1"/>
    <cellStyle name="20% - Accent2 2" xfId="67"/>
    <cellStyle name="20% - Accent2 3" xfId="82"/>
    <cellStyle name="20% - Accent3" xfId="27" builtinId="38" customBuiltin="1"/>
    <cellStyle name="20% - Accent3 2" xfId="69"/>
    <cellStyle name="20% - Accent3 3" xfId="84"/>
    <cellStyle name="20% - Accent4" xfId="31" builtinId="42" customBuiltin="1"/>
    <cellStyle name="20% - Accent4 2" xfId="71"/>
    <cellStyle name="20% - Accent4 3" xfId="86"/>
    <cellStyle name="20% - Accent5" xfId="35" builtinId="46" customBuiltin="1"/>
    <cellStyle name="20% - Accent5 2" xfId="73"/>
    <cellStyle name="20% - Accent5 3" xfId="88"/>
    <cellStyle name="20% - Accent6" xfId="39" builtinId="50" customBuiltin="1"/>
    <cellStyle name="20% - Accent6 2" xfId="75"/>
    <cellStyle name="20% - Accent6 3" xfId="90"/>
    <cellStyle name="40% - Accent1" xfId="20" builtinId="31" customBuiltin="1"/>
    <cellStyle name="40% - Accent1 2" xfId="66"/>
    <cellStyle name="40% - Accent1 3" xfId="81"/>
    <cellStyle name="40% - Accent2" xfId="24" builtinId="35" customBuiltin="1"/>
    <cellStyle name="40% - Accent2 2" xfId="68"/>
    <cellStyle name="40% - Accent2 3" xfId="83"/>
    <cellStyle name="40% - Accent3" xfId="28" builtinId="39" customBuiltin="1"/>
    <cellStyle name="40% - Accent3 2" xfId="70"/>
    <cellStyle name="40% - Accent3 3" xfId="85"/>
    <cellStyle name="40% - Accent4" xfId="32" builtinId="43" customBuiltin="1"/>
    <cellStyle name="40% - Accent4 2" xfId="72"/>
    <cellStyle name="40% - Accent4 3" xfId="87"/>
    <cellStyle name="40% - Accent5" xfId="36" builtinId="47" customBuiltin="1"/>
    <cellStyle name="40% - Accent5 2" xfId="74"/>
    <cellStyle name="40% - Accent5 3" xfId="89"/>
    <cellStyle name="40% - Accent6" xfId="40" builtinId="51" customBuiltin="1"/>
    <cellStyle name="40% - Accent6 2" xfId="76"/>
    <cellStyle name="40% - Accent6 3" xfId="9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8"/>
    <cellStyle name="Body: normal cell 2" xfId="102"/>
    <cellStyle name="Body: normal cell 2 2" xfId="96"/>
    <cellStyle name="Body: normal cell 3" xfId="100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9" builtinId="9" customBuiltin="1"/>
    <cellStyle name="Font: Calibri, 9pt regular" xfId="47"/>
    <cellStyle name="Font: Calibri, 9pt regular 2" xfId="103"/>
    <cellStyle name="Font: Calibri, 9pt regular 2 2" xfId="101"/>
    <cellStyle name="Font: Calibri, 9pt regular 3" xfId="94"/>
    <cellStyle name="Footnotes: all except top row" xfId="52"/>
    <cellStyle name="Footnotes: top row" xfId="53"/>
    <cellStyle name="Footnotes: top row 2" xfId="104"/>
    <cellStyle name="Footnotes: top row 2 2" xfId="57"/>
    <cellStyle name="Footnotes: top row 3" xfId="99"/>
    <cellStyle name="Good" xfId="6" builtinId="26" customBuiltin="1"/>
    <cellStyle name="Header: bottom row" xfId="54"/>
    <cellStyle name="Header: bottom row 2" xfId="105"/>
    <cellStyle name="Header: bottom row 2 2" xfId="51"/>
    <cellStyle name="Header: bottom row 3" xfId="109"/>
    <cellStyle name="Header: top rows" xfId="58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56" builtinId="8" customBuiltin="1"/>
    <cellStyle name="Hyperlink 2" xfId="92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79"/>
    <cellStyle name="Normal 2 3" xfId="95"/>
    <cellStyle name="Normal 3" xfId="43"/>
    <cellStyle name="Normal 3 2" xfId="108"/>
    <cellStyle name="Normal 4" xfId="60"/>
    <cellStyle name="Normal 5" xfId="62"/>
    <cellStyle name="Note" xfId="15" builtinId="10" customBuiltin="1"/>
    <cellStyle name="Note 2" xfId="64"/>
    <cellStyle name="Note 3" xfId="78"/>
    <cellStyle name="Output" xfId="10" builtinId="21" customBuiltin="1"/>
    <cellStyle name="Parent row" xfId="55"/>
    <cellStyle name="Parent row 2" xfId="106"/>
    <cellStyle name="Parent row 2 2" xfId="98"/>
    <cellStyle name="Parent row 3" xfId="93"/>
    <cellStyle name="Percent 2" xfId="44"/>
    <cellStyle name="Percent 2 2" xfId="63"/>
    <cellStyle name="Percent 3" xfId="45"/>
    <cellStyle name="Percent 3 2" xfId="77"/>
    <cellStyle name="Section Break" xfId="50"/>
    <cellStyle name="Section Break: parent row" xfId="59"/>
    <cellStyle name="Table title" xfId="61"/>
    <cellStyle name="Table title 2" xfId="107"/>
    <cellStyle name="Table title 2 2" xfId="110"/>
    <cellStyle name="Table title 3" xfId="97"/>
    <cellStyle name="Title" xfId="1" builtinId="15" customBuiltin="1"/>
    <cellStyle name="Title 2" xfId="46"/>
    <cellStyle name="Total" xfId="17" builtinId="25" customBuiltin="1"/>
    <cellStyle name="Warning Text" xfId="14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9"/>
  <sheetViews>
    <sheetView tabSelected="1" workbookViewId="0">
      <selection activeCell="B20" sqref="B20"/>
    </sheetView>
  </sheetViews>
  <sheetFormatPr defaultRowHeight="14.5" x14ac:dyDescent="0.35"/>
  <sheetData>
    <row r="1" spans="1:48" ht="15.5" x14ac:dyDescent="0.35">
      <c r="A1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  <c r="AP1" s="3" t="s">
        <v>56</v>
      </c>
      <c r="AQ1" s="3" t="s">
        <v>57</v>
      </c>
      <c r="AR1" s="3" t="s">
        <v>58</v>
      </c>
      <c r="AS1" s="3" t="s">
        <v>59</v>
      </c>
      <c r="AT1" s="3" t="s">
        <v>60</v>
      </c>
      <c r="AU1" s="3" t="s">
        <v>61</v>
      </c>
      <c r="AV1" s="3" t="s">
        <v>62</v>
      </c>
    </row>
    <row r="2" spans="1:48" s="6" customFormat="1" ht="15.5" x14ac:dyDescent="0.35">
      <c r="A2" t="s">
        <v>64</v>
      </c>
      <c r="B2" s="6">
        <v>38.26</v>
      </c>
      <c r="C2" s="6">
        <v>54.57</v>
      </c>
      <c r="D2" s="6">
        <v>65.16</v>
      </c>
      <c r="E2" s="6">
        <v>72.44</v>
      </c>
      <c r="F2" s="6">
        <v>96.94</v>
      </c>
      <c r="G2" s="6">
        <v>61.74</v>
      </c>
      <c r="H2" s="6">
        <v>79.61</v>
      </c>
      <c r="I2" s="6">
        <v>111.26</v>
      </c>
      <c r="J2" s="6">
        <v>111.63</v>
      </c>
      <c r="K2" s="6">
        <v>108.56</v>
      </c>
      <c r="L2" s="6">
        <v>98.97</v>
      </c>
      <c r="M2" s="6">
        <v>52.32</v>
      </c>
      <c r="N2" s="6">
        <v>43.64</v>
      </c>
      <c r="O2" s="6">
        <v>54.13</v>
      </c>
      <c r="P2" s="6">
        <v>71.34</v>
      </c>
      <c r="Q2" s="6">
        <v>64.3</v>
      </c>
      <c r="R2" s="6">
        <v>41.96</v>
      </c>
      <c r="S2" s="6">
        <v>70.86</v>
      </c>
      <c r="T2" s="6">
        <v>100.93</v>
      </c>
      <c r="U2" s="6">
        <v>82.49</v>
      </c>
      <c r="V2" s="6">
        <v>80.52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35">
      <c r="A3" t="s">
        <v>27</v>
      </c>
      <c r="B3" s="6">
        <f t="shared" ref="B3:C19" si="0">B$2</f>
        <v>38.26</v>
      </c>
      <c r="C3" s="6">
        <f t="shared" si="0"/>
        <v>54.57</v>
      </c>
      <c r="D3" s="2">
        <v>66.044250488281307</v>
      </c>
      <c r="E3" s="2">
        <v>72.331047058105497</v>
      </c>
      <c r="F3" s="2">
        <v>101.458053588867</v>
      </c>
      <c r="G3" s="2">
        <v>63.461093902587898</v>
      </c>
      <c r="H3" s="2">
        <v>84.423667907714801</v>
      </c>
      <c r="I3" s="2">
        <v>94.133468627929702</v>
      </c>
      <c r="J3" s="2">
        <v>105.34693908691401</v>
      </c>
      <c r="K3" s="2">
        <v>112.926712036133</v>
      </c>
      <c r="L3" s="2">
        <v>121.15436553955099</v>
      </c>
      <c r="M3" s="2">
        <v>127.843467712402</v>
      </c>
      <c r="N3" s="2">
        <v>132.24424743652301</v>
      </c>
      <c r="O3" s="2">
        <v>136.42791748046901</v>
      </c>
      <c r="P3" s="2">
        <v>140.64727783203099</v>
      </c>
      <c r="Q3" s="2">
        <v>145.37445068359401</v>
      </c>
      <c r="R3" s="2">
        <v>149.14210510253901</v>
      </c>
      <c r="S3" s="2">
        <v>154.20750427246099</v>
      </c>
      <c r="T3" s="2">
        <v>157.99133300781301</v>
      </c>
      <c r="U3" s="2">
        <v>161.58331298828099</v>
      </c>
      <c r="V3" s="2">
        <v>164.74053955078099</v>
      </c>
      <c r="W3" s="2">
        <v>168.23739624023401</v>
      </c>
      <c r="X3" s="2">
        <v>171.60119628906301</v>
      </c>
      <c r="Y3" s="2">
        <v>176.05389404296901</v>
      </c>
      <c r="Z3" s="2">
        <v>180.71083068847699</v>
      </c>
      <c r="AA3" s="2">
        <v>184.99586486816401</v>
      </c>
      <c r="AB3" s="2">
        <v>189.09989929199199</v>
      </c>
    </row>
    <row r="4" spans="1:48" x14ac:dyDescent="0.35">
      <c r="A4" t="s">
        <v>28</v>
      </c>
      <c r="B4" s="6">
        <f t="shared" si="0"/>
        <v>38.26</v>
      </c>
      <c r="C4" s="6">
        <f t="shared" si="0"/>
        <v>54.57</v>
      </c>
      <c r="D4" s="6">
        <f t="shared" ref="D4:D19" si="1">D$2</f>
        <v>65.16</v>
      </c>
      <c r="E4" s="4">
        <v>72.316588999999993</v>
      </c>
      <c r="F4" s="4">
        <v>99.571601999999999</v>
      </c>
      <c r="G4" s="4">
        <v>60.115001999999997</v>
      </c>
      <c r="H4" s="4">
        <v>72.416602999999995</v>
      </c>
      <c r="I4" s="4">
        <v>76.249741</v>
      </c>
      <c r="J4" s="4">
        <v>84.052177</v>
      </c>
      <c r="K4" s="4">
        <v>92.358452</v>
      </c>
      <c r="L4" s="4">
        <v>99.614966999999993</v>
      </c>
      <c r="M4" s="4">
        <v>105.327972</v>
      </c>
      <c r="N4" s="4">
        <v>111.42984800000001</v>
      </c>
      <c r="O4" s="4">
        <v>116.948105</v>
      </c>
      <c r="P4" s="4">
        <v>122.859764</v>
      </c>
      <c r="Q4" s="4">
        <v>127.604507</v>
      </c>
      <c r="R4" s="4">
        <v>132.33194</v>
      </c>
      <c r="S4" s="4">
        <v>136.68641700000001</v>
      </c>
      <c r="T4" s="4">
        <v>141.469559</v>
      </c>
      <c r="U4" s="4">
        <v>146.33819600000001</v>
      </c>
      <c r="V4" s="4">
        <v>151.119461</v>
      </c>
      <c r="W4" s="4">
        <v>156.196167</v>
      </c>
      <c r="X4" s="4">
        <v>161.547684</v>
      </c>
      <c r="Y4" s="4">
        <v>167.36163300000001</v>
      </c>
      <c r="Z4" s="4">
        <v>173.60943599999999</v>
      </c>
      <c r="AA4" s="4">
        <v>180.21559099999999</v>
      </c>
      <c r="AB4" s="4">
        <v>186.40347299999999</v>
      </c>
      <c r="AC4" s="4">
        <v>193.72706600000001</v>
      </c>
      <c r="AD4" s="4">
        <v>201.01857000000001</v>
      </c>
      <c r="AE4" s="4">
        <v>208.337433</v>
      </c>
      <c r="AF4" s="4">
        <v>216.01359600000001</v>
      </c>
      <c r="AG4" s="4">
        <v>223.88017300000001</v>
      </c>
    </row>
    <row r="5" spans="1:48" x14ac:dyDescent="0.35">
      <c r="A5" t="s">
        <v>29</v>
      </c>
      <c r="B5" s="6">
        <f t="shared" si="0"/>
        <v>38.26</v>
      </c>
      <c r="C5" s="6">
        <f t="shared" si="0"/>
        <v>54.57</v>
      </c>
      <c r="D5" s="6">
        <f t="shared" si="1"/>
        <v>65.16</v>
      </c>
      <c r="E5" s="6">
        <f t="shared" ref="E5:E19" si="2">E$2</f>
        <v>72.44</v>
      </c>
      <c r="F5" s="5">
        <v>99.571601999999999</v>
      </c>
      <c r="G5" s="5">
        <v>61.661594000000001</v>
      </c>
      <c r="H5" s="5">
        <v>78.711699999999993</v>
      </c>
      <c r="I5" s="5">
        <v>85.053496999999993</v>
      </c>
      <c r="J5" s="5">
        <v>88.613510000000005</v>
      </c>
      <c r="K5" s="5">
        <v>92.516684999999995</v>
      </c>
      <c r="L5" s="5">
        <v>97.792411999999999</v>
      </c>
      <c r="M5" s="5">
        <v>103.24115</v>
      </c>
      <c r="N5" s="5">
        <v>108.690704</v>
      </c>
      <c r="O5" s="5">
        <v>114.197563</v>
      </c>
      <c r="P5" s="5">
        <v>119.68364699999999</v>
      </c>
      <c r="Q5" s="5">
        <v>125.15248099999999</v>
      </c>
      <c r="R5" s="5">
        <v>130.60211200000001</v>
      </c>
      <c r="S5" s="5">
        <v>135.82025100000001</v>
      </c>
      <c r="T5" s="5">
        <v>140.88407900000001</v>
      </c>
      <c r="U5" s="5">
        <v>145.743484</v>
      </c>
      <c r="V5" s="5">
        <v>150.67506399999999</v>
      </c>
      <c r="W5" s="5">
        <v>155.46087600000001</v>
      </c>
      <c r="X5" s="5">
        <v>160.20884699999999</v>
      </c>
      <c r="Y5" s="5">
        <v>164.955063</v>
      </c>
      <c r="Z5" s="5">
        <v>169.56800799999999</v>
      </c>
      <c r="AA5" s="5">
        <v>174.15626499999999</v>
      </c>
      <c r="AB5" s="5">
        <v>178.45370500000001</v>
      </c>
      <c r="AC5" s="5">
        <v>182.68446399999999</v>
      </c>
      <c r="AD5" s="5">
        <v>186.95417800000001</v>
      </c>
      <c r="AE5" s="5">
        <v>191.098251</v>
      </c>
      <c r="AF5" s="5">
        <v>195.079498</v>
      </c>
      <c r="AG5" s="5">
        <v>199.36889600000001</v>
      </c>
    </row>
    <row r="6" spans="1:48" x14ac:dyDescent="0.35">
      <c r="A6" t="s">
        <v>30</v>
      </c>
      <c r="B6" s="6">
        <f t="shared" si="0"/>
        <v>38.26</v>
      </c>
      <c r="C6" s="6">
        <f t="shared" si="0"/>
        <v>54.57</v>
      </c>
      <c r="D6" s="6">
        <f t="shared" si="1"/>
        <v>65.16</v>
      </c>
      <c r="E6" s="6">
        <f t="shared" si="2"/>
        <v>72.44</v>
      </c>
      <c r="F6" s="6">
        <f t="shared" ref="F6:F19" si="3">F$2</f>
        <v>96.94</v>
      </c>
      <c r="G6" s="9">
        <v>61.653297000000002</v>
      </c>
      <c r="H6" s="9">
        <v>79.394997000000004</v>
      </c>
      <c r="I6" s="9">
        <v>94.815002000000007</v>
      </c>
      <c r="J6" s="9">
        <v>98</v>
      </c>
      <c r="K6" s="9">
        <v>108.08641799999999</v>
      </c>
      <c r="L6" s="9">
        <v>117.40877500000001</v>
      </c>
      <c r="M6" s="9">
        <v>125.97305299999999</v>
      </c>
      <c r="N6" s="9">
        <v>131.526016</v>
      </c>
      <c r="O6" s="9">
        <v>137.130066</v>
      </c>
      <c r="P6" s="9">
        <v>140.81672699999999</v>
      </c>
      <c r="Q6" s="9">
        <v>144.65831</v>
      </c>
      <c r="R6" s="9">
        <v>148.86908</v>
      </c>
      <c r="S6" s="9">
        <v>152.95576500000001</v>
      </c>
      <c r="T6" s="9">
        <v>157.340103</v>
      </c>
      <c r="U6" s="9">
        <v>161.43235799999999</v>
      </c>
      <c r="V6" s="9">
        <v>165.658432</v>
      </c>
      <c r="W6" s="9">
        <v>170.085892</v>
      </c>
      <c r="X6" s="9">
        <v>174.63549800000001</v>
      </c>
      <c r="Y6" s="9">
        <v>179.36871300000001</v>
      </c>
      <c r="Z6" s="9">
        <v>184.565628</v>
      </c>
      <c r="AA6" s="9">
        <v>190.86262500000001</v>
      </c>
      <c r="AB6" s="9">
        <v>197.099884</v>
      </c>
      <c r="AC6" s="9">
        <v>203.687927</v>
      </c>
      <c r="AD6" s="9">
        <v>210.374481</v>
      </c>
      <c r="AE6" s="9">
        <v>216.28784200000001</v>
      </c>
      <c r="AF6" s="9">
        <v>223.04122899999999</v>
      </c>
      <c r="AG6" s="9">
        <v>229.55308500000001</v>
      </c>
    </row>
    <row r="7" spans="1:48" x14ac:dyDescent="0.35">
      <c r="A7" t="s">
        <v>31</v>
      </c>
      <c r="B7">
        <f t="shared" si="0"/>
        <v>38.26</v>
      </c>
      <c r="C7" s="6">
        <f t="shared" si="0"/>
        <v>54.57</v>
      </c>
      <c r="D7" s="6">
        <f t="shared" si="1"/>
        <v>65.16</v>
      </c>
      <c r="E7" s="6">
        <f t="shared" si="2"/>
        <v>72.44</v>
      </c>
      <c r="F7" s="6">
        <f t="shared" si="3"/>
        <v>96.94</v>
      </c>
      <c r="G7" s="6">
        <f t="shared" ref="G7:G19" si="4">G$2</f>
        <v>61.74</v>
      </c>
      <c r="H7" s="10">
        <v>79.609076999999999</v>
      </c>
      <c r="I7" s="10">
        <v>111.260002</v>
      </c>
      <c r="J7" s="10">
        <v>110.429581</v>
      </c>
      <c r="K7" s="10">
        <v>100.199944</v>
      </c>
      <c r="L7" s="10">
        <v>101.814072</v>
      </c>
      <c r="M7" s="10">
        <v>102.21024300000001</v>
      </c>
      <c r="N7" s="10">
        <v>104.991905</v>
      </c>
      <c r="O7" s="10">
        <v>108.866219</v>
      </c>
      <c r="P7" s="10">
        <v>112.989059</v>
      </c>
      <c r="Q7" s="10">
        <v>117.23279599999999</v>
      </c>
      <c r="R7" s="10">
        <v>121.734543</v>
      </c>
      <c r="S7" s="10">
        <v>126.496666</v>
      </c>
      <c r="T7" s="10">
        <v>131.549286</v>
      </c>
      <c r="U7" s="10">
        <v>136.798553</v>
      </c>
      <c r="V7" s="10">
        <v>142.23902899999999</v>
      </c>
      <c r="W7" s="10">
        <v>147.90152</v>
      </c>
      <c r="X7" s="10">
        <v>153.81539900000001</v>
      </c>
      <c r="Y7" s="10">
        <v>159.95642100000001</v>
      </c>
      <c r="Z7" s="10">
        <v>166.36596700000001</v>
      </c>
      <c r="AA7" s="10">
        <v>173.072464</v>
      </c>
      <c r="AB7" s="10">
        <v>180.043701</v>
      </c>
      <c r="AC7" s="10">
        <v>187.332672</v>
      </c>
      <c r="AD7" s="10">
        <v>194.86944600000001</v>
      </c>
      <c r="AE7" s="10">
        <v>202.67918399999999</v>
      </c>
      <c r="AF7" s="10">
        <v>211.04418899999999</v>
      </c>
      <c r="AG7" s="10">
        <v>219.72679099999999</v>
      </c>
      <c r="AH7" s="10">
        <v>228.76440400000001</v>
      </c>
      <c r="AI7" s="10">
        <v>238.16383400000001</v>
      </c>
      <c r="AJ7" s="10">
        <v>247.915817</v>
      </c>
      <c r="AK7" s="10">
        <v>258.02542099999999</v>
      </c>
      <c r="AL7" s="10">
        <v>268.49939000000001</v>
      </c>
    </row>
    <row r="8" spans="1:48" x14ac:dyDescent="0.35">
      <c r="A8" t="s">
        <v>32</v>
      </c>
      <c r="B8" s="6">
        <f t="shared" si="0"/>
        <v>38.26</v>
      </c>
      <c r="C8" s="6">
        <f t="shared" si="0"/>
        <v>54.57</v>
      </c>
      <c r="D8" s="6">
        <f t="shared" si="1"/>
        <v>65.16</v>
      </c>
      <c r="E8" s="6">
        <f t="shared" si="2"/>
        <v>72.44</v>
      </c>
      <c r="F8" s="6">
        <f t="shared" si="3"/>
        <v>96.94</v>
      </c>
      <c r="G8" s="6">
        <f t="shared" si="4"/>
        <v>61.74</v>
      </c>
      <c r="H8" s="6">
        <f t="shared" ref="H8:H19" si="5">H$2</f>
        <v>79.61</v>
      </c>
      <c r="I8" s="7">
        <v>111.26000999999999</v>
      </c>
      <c r="J8" s="7">
        <v>111.650002</v>
      </c>
      <c r="K8" s="7">
        <v>108.110001</v>
      </c>
      <c r="L8" s="7">
        <v>102.199997</v>
      </c>
      <c r="M8" s="7">
        <v>101.95394899999999</v>
      </c>
      <c r="N8" s="7">
        <v>99.573502000000005</v>
      </c>
      <c r="O8" s="7">
        <v>99.296729999999997</v>
      </c>
      <c r="P8" s="7">
        <v>101.540504</v>
      </c>
      <c r="Q8" s="7">
        <v>105.21266199999999</v>
      </c>
      <c r="R8" s="7">
        <v>109.372917</v>
      </c>
      <c r="S8" s="7">
        <v>114.029167</v>
      </c>
      <c r="T8" s="7">
        <v>118.883827</v>
      </c>
      <c r="U8" s="7">
        <v>124.05895200000001</v>
      </c>
      <c r="V8" s="7">
        <v>129.19515999999999</v>
      </c>
      <c r="W8" s="7">
        <v>134.24723800000001</v>
      </c>
      <c r="X8" s="7">
        <v>138.99279799999999</v>
      </c>
      <c r="Y8" s="7">
        <v>144.522156</v>
      </c>
      <c r="Z8" s="7">
        <v>149.63734400000001</v>
      </c>
      <c r="AA8" s="7">
        <v>155.05471800000001</v>
      </c>
      <c r="AB8" s="7">
        <v>160.18682899999999</v>
      </c>
      <c r="AC8" s="7">
        <v>166.20706200000001</v>
      </c>
      <c r="AD8" s="7">
        <v>172.806366</v>
      </c>
      <c r="AE8" s="7">
        <v>179.54826399999999</v>
      </c>
      <c r="AF8" s="7">
        <v>186.30924999999999</v>
      </c>
      <c r="AG8" s="7">
        <v>193.27389500000001</v>
      </c>
      <c r="AH8" s="7">
        <v>200.220428</v>
      </c>
      <c r="AI8" s="7">
        <v>207.86586</v>
      </c>
      <c r="AJ8" s="7">
        <v>215.55091899999999</v>
      </c>
      <c r="AK8" s="7">
        <v>224.620239</v>
      </c>
      <c r="AL8" s="7">
        <v>234.53244000000001</v>
      </c>
    </row>
    <row r="9" spans="1:48" x14ac:dyDescent="0.35">
      <c r="A9" t="s">
        <v>33</v>
      </c>
      <c r="B9" s="6">
        <f t="shared" si="0"/>
        <v>38.26</v>
      </c>
      <c r="C9" s="6">
        <f t="shared" si="0"/>
        <v>54.57</v>
      </c>
      <c r="D9" s="6">
        <f t="shared" si="1"/>
        <v>65.16</v>
      </c>
      <c r="E9" s="6">
        <f t="shared" si="2"/>
        <v>72.44</v>
      </c>
      <c r="F9" s="6">
        <f t="shared" si="3"/>
        <v>96.94</v>
      </c>
      <c r="G9" s="6">
        <f t="shared" si="4"/>
        <v>61.74</v>
      </c>
      <c r="H9" s="6">
        <f t="shared" si="5"/>
        <v>79.61</v>
      </c>
      <c r="I9" s="6">
        <f t="shared" ref="I9:I19" si="6">I$2</f>
        <v>111.26</v>
      </c>
      <c r="J9" s="11">
        <v>111.652</v>
      </c>
      <c r="K9" s="11">
        <v>108.637001</v>
      </c>
      <c r="L9" s="11">
        <v>99.022002999999998</v>
      </c>
      <c r="M9" s="11">
        <v>57.582996000000001</v>
      </c>
      <c r="N9" s="11">
        <v>75</v>
      </c>
      <c r="O9" s="11">
        <v>81.986525999999998</v>
      </c>
      <c r="P9" s="11">
        <v>83.412575000000004</v>
      </c>
      <c r="Q9" s="11">
        <v>86.579300000000003</v>
      </c>
      <c r="R9" s="11">
        <v>89.749488999999997</v>
      </c>
      <c r="S9" s="11">
        <v>93.775963000000004</v>
      </c>
      <c r="T9" s="11">
        <v>98.084266999999997</v>
      </c>
      <c r="U9" s="11">
        <v>102.60442399999999</v>
      </c>
      <c r="V9" s="11">
        <v>107.298592</v>
      </c>
      <c r="W9" s="11">
        <v>112.198097</v>
      </c>
      <c r="X9" s="11">
        <v>117.495575</v>
      </c>
      <c r="Y9" s="11">
        <v>123.064789</v>
      </c>
      <c r="Z9" s="11">
        <v>128.923981</v>
      </c>
      <c r="AA9" s="11">
        <v>135.08395400000001</v>
      </c>
      <c r="AB9" s="11">
        <v>141.614349</v>
      </c>
      <c r="AC9" s="11">
        <v>148.58674600000001</v>
      </c>
      <c r="AD9" s="11">
        <v>155.89913899999999</v>
      </c>
      <c r="AE9" s="11">
        <v>163.57574500000001</v>
      </c>
      <c r="AF9" s="11">
        <v>171.313187</v>
      </c>
      <c r="AG9" s="11">
        <v>179.62333699999999</v>
      </c>
      <c r="AH9" s="11">
        <v>188.41066000000001</v>
      </c>
      <c r="AI9" s="11">
        <v>197.348648</v>
      </c>
      <c r="AJ9" s="11">
        <v>207.203644</v>
      </c>
      <c r="AK9" s="11">
        <v>218.192398</v>
      </c>
      <c r="AL9" s="11">
        <v>229.01490799999999</v>
      </c>
    </row>
    <row r="10" spans="1:48" x14ac:dyDescent="0.35">
      <c r="A10" t="s">
        <v>34</v>
      </c>
      <c r="B10" s="6">
        <f t="shared" si="0"/>
        <v>38.26</v>
      </c>
      <c r="C10" s="6">
        <f t="shared" si="0"/>
        <v>54.57</v>
      </c>
      <c r="D10" s="6">
        <f t="shared" si="1"/>
        <v>65.16</v>
      </c>
      <c r="E10" s="6">
        <f t="shared" si="2"/>
        <v>72.44</v>
      </c>
      <c r="F10" s="6">
        <f t="shared" si="3"/>
        <v>96.94</v>
      </c>
      <c r="G10" s="6">
        <f t="shared" si="4"/>
        <v>61.74</v>
      </c>
      <c r="H10" s="6">
        <f t="shared" si="5"/>
        <v>79.61</v>
      </c>
      <c r="I10" s="6">
        <f t="shared" si="6"/>
        <v>111.26</v>
      </c>
      <c r="J10" s="6">
        <f t="shared" ref="J10:K19" si="7">J$2</f>
        <v>111.63</v>
      </c>
      <c r="K10" s="6">
        <f t="shared" si="7"/>
        <v>108.56</v>
      </c>
      <c r="L10" s="12">
        <v>98.890998999999994</v>
      </c>
      <c r="M10" s="12">
        <v>52.318001000000002</v>
      </c>
      <c r="N10" s="12">
        <v>37.519001000000003</v>
      </c>
      <c r="O10" s="12">
        <v>50</v>
      </c>
      <c r="P10" s="12">
        <v>60.455230999999998</v>
      </c>
      <c r="Q10" s="12">
        <v>75.829352999999998</v>
      </c>
      <c r="R10" s="12">
        <v>84.585114000000004</v>
      </c>
      <c r="S10" s="12">
        <v>91.779792999999998</v>
      </c>
      <c r="T10" s="12">
        <v>97.881362999999993</v>
      </c>
      <c r="U10" s="12">
        <v>102.69723500000001</v>
      </c>
      <c r="V10" s="12">
        <v>107.072495</v>
      </c>
      <c r="W10" s="12">
        <v>112.103622</v>
      </c>
      <c r="X10" s="12">
        <v>118.111237</v>
      </c>
      <c r="Y10" s="12">
        <v>123.69358800000001</v>
      </c>
      <c r="Z10" s="12">
        <v>128.95555100000001</v>
      </c>
      <c r="AA10" s="12">
        <v>135.44740300000001</v>
      </c>
      <c r="AB10" s="12">
        <v>140.690292</v>
      </c>
      <c r="AC10" s="12">
        <v>148.231201</v>
      </c>
      <c r="AD10" s="12">
        <v>156.14086900000001</v>
      </c>
      <c r="AE10" s="12">
        <v>164.444016</v>
      </c>
      <c r="AF10" s="12">
        <v>173.35908499999999</v>
      </c>
      <c r="AG10" s="12">
        <v>180.67993200000001</v>
      </c>
      <c r="AH10" s="12">
        <v>190.31260700000001</v>
      </c>
      <c r="AI10" s="12">
        <v>198.031769</v>
      </c>
      <c r="AJ10" s="12">
        <v>208.364105</v>
      </c>
      <c r="AK10" s="12">
        <v>217.60604900000001</v>
      </c>
      <c r="AL10" s="12">
        <v>229.22135900000001</v>
      </c>
    </row>
    <row r="11" spans="1:48" x14ac:dyDescent="0.35">
      <c r="A11" t="s">
        <v>35</v>
      </c>
      <c r="B11" s="6">
        <f t="shared" si="0"/>
        <v>38.26</v>
      </c>
      <c r="C11" s="6">
        <f t="shared" si="0"/>
        <v>54.57</v>
      </c>
      <c r="D11" s="6">
        <f t="shared" si="1"/>
        <v>65.16</v>
      </c>
      <c r="E11" s="6">
        <f t="shared" si="2"/>
        <v>72.44</v>
      </c>
      <c r="F11" s="6">
        <f t="shared" si="3"/>
        <v>96.94</v>
      </c>
      <c r="G11" s="6">
        <f t="shared" si="4"/>
        <v>61.74</v>
      </c>
      <c r="H11" s="6">
        <f t="shared" si="5"/>
        <v>79.61</v>
      </c>
      <c r="I11" s="6">
        <f t="shared" si="6"/>
        <v>111.26</v>
      </c>
      <c r="J11" s="6">
        <f t="shared" si="7"/>
        <v>111.63</v>
      </c>
      <c r="K11" s="6">
        <f t="shared" si="7"/>
        <v>108.56</v>
      </c>
      <c r="L11" s="6">
        <f t="shared" ref="L11:L19" si="8">L$2</f>
        <v>98.97</v>
      </c>
      <c r="M11" s="13">
        <v>52.321002999999997</v>
      </c>
      <c r="N11" s="13">
        <v>43.426997999999998</v>
      </c>
      <c r="O11" s="13">
        <v>50.992001000000002</v>
      </c>
      <c r="P11" s="13">
        <v>65.670471000000006</v>
      </c>
      <c r="Q11" s="13">
        <v>74.850753999999995</v>
      </c>
      <c r="R11" s="13">
        <v>81.346748000000005</v>
      </c>
      <c r="S11" s="13">
        <v>86.816131999999996</v>
      </c>
      <c r="T11" s="13">
        <v>91.680779000000001</v>
      </c>
      <c r="U11" s="13">
        <v>95.493842999999998</v>
      </c>
      <c r="V11" s="13">
        <v>99.162803999999994</v>
      </c>
      <c r="W11" s="13">
        <v>104.341728</v>
      </c>
      <c r="X11" s="13">
        <v>109.5354</v>
      </c>
      <c r="Y11" s="13">
        <v>113.876251</v>
      </c>
      <c r="Z11" s="13">
        <v>117.285667</v>
      </c>
      <c r="AA11" s="13">
        <v>121.718681</v>
      </c>
      <c r="AB11" s="13">
        <v>127.70214799999999</v>
      </c>
      <c r="AC11" s="13">
        <v>133.62477100000001</v>
      </c>
      <c r="AD11" s="13">
        <v>140.23774700000001</v>
      </c>
      <c r="AE11" s="13">
        <v>143.234283</v>
      </c>
      <c r="AF11" s="13">
        <v>148.64613299999999</v>
      </c>
      <c r="AG11" s="13">
        <v>152.48336800000001</v>
      </c>
      <c r="AH11" s="13">
        <v>159.67295799999999</v>
      </c>
      <c r="AI11" s="13">
        <v>163.44615200000001</v>
      </c>
      <c r="AJ11" s="13">
        <v>168.345001</v>
      </c>
      <c r="AK11" s="13">
        <v>174.341309</v>
      </c>
      <c r="AL11" s="13">
        <v>179.35282900000001</v>
      </c>
      <c r="AM11" s="13">
        <v>184.06634500000001</v>
      </c>
      <c r="AN11" s="13">
        <v>188.15579199999999</v>
      </c>
      <c r="AO11" s="13">
        <v>193.14030500000001</v>
      </c>
      <c r="AP11" s="13">
        <v>198.22287</v>
      </c>
      <c r="AQ11" s="13">
        <v>203.65280200000001</v>
      </c>
      <c r="AR11" s="13">
        <v>209.86322000000001</v>
      </c>
      <c r="AS11" s="13">
        <v>216.627701</v>
      </c>
      <c r="AT11" s="13">
        <v>221.80651900000001</v>
      </c>
      <c r="AU11" s="13">
        <v>229.46431000000001</v>
      </c>
      <c r="AV11" s="13">
        <v>236.38734400000001</v>
      </c>
    </row>
    <row r="12" spans="1:48" x14ac:dyDescent="0.35">
      <c r="A12" s="6" t="s">
        <v>36</v>
      </c>
      <c r="B12" s="6">
        <f t="shared" si="0"/>
        <v>38.26</v>
      </c>
      <c r="C12" s="6">
        <f t="shared" si="0"/>
        <v>54.57</v>
      </c>
      <c r="D12" s="6">
        <f t="shared" si="1"/>
        <v>65.16</v>
      </c>
      <c r="E12" s="6">
        <f t="shared" si="2"/>
        <v>72.44</v>
      </c>
      <c r="F12" s="6">
        <f t="shared" si="3"/>
        <v>96.94</v>
      </c>
      <c r="G12" s="6">
        <f t="shared" si="4"/>
        <v>61.74</v>
      </c>
      <c r="H12" s="6">
        <f t="shared" si="5"/>
        <v>79.61</v>
      </c>
      <c r="I12" s="6">
        <f t="shared" si="6"/>
        <v>111.26</v>
      </c>
      <c r="J12" s="6">
        <f t="shared" si="7"/>
        <v>111.63</v>
      </c>
      <c r="K12" s="6">
        <f t="shared" si="7"/>
        <v>108.56</v>
      </c>
      <c r="L12" s="6">
        <f t="shared" si="8"/>
        <v>98.97</v>
      </c>
      <c r="M12" s="6">
        <f t="shared" ref="M12:M19" si="9">M$2</f>
        <v>52.32</v>
      </c>
      <c r="N12" s="14">
        <v>43.743000000000002</v>
      </c>
      <c r="O12" s="14">
        <v>52.431998999999998</v>
      </c>
      <c r="P12" s="14">
        <v>54.070999</v>
      </c>
      <c r="Q12" s="14">
        <v>58.848624999999998</v>
      </c>
      <c r="R12" s="14">
        <v>75.102249</v>
      </c>
      <c r="S12" s="14">
        <v>85.101012999999995</v>
      </c>
      <c r="T12" s="14">
        <v>90.743026999999998</v>
      </c>
      <c r="U12" s="14">
        <v>95.749915999999999</v>
      </c>
      <c r="V12" s="14">
        <v>99.922698999999994</v>
      </c>
      <c r="W12" s="14">
        <v>103.744873</v>
      </c>
      <c r="X12" s="14">
        <v>108.315292</v>
      </c>
      <c r="Y12" s="14">
        <v>112.26248200000001</v>
      </c>
      <c r="Z12" s="14">
        <v>116.82010699999999</v>
      </c>
      <c r="AA12" s="14">
        <v>121.290352</v>
      </c>
      <c r="AB12" s="14">
        <v>125.26696</v>
      </c>
      <c r="AC12" s="14">
        <v>130.82302899999999</v>
      </c>
      <c r="AD12" s="14">
        <v>135.065552</v>
      </c>
      <c r="AE12" s="14">
        <v>139.987167</v>
      </c>
      <c r="AF12" s="14">
        <v>145.436768</v>
      </c>
      <c r="AG12" s="14">
        <v>150.42654400000001</v>
      </c>
      <c r="AH12" s="14">
        <v>154.56546</v>
      </c>
      <c r="AI12" s="14">
        <v>161.982193</v>
      </c>
      <c r="AJ12" s="14">
        <v>167.53376800000001</v>
      </c>
      <c r="AK12" s="14">
        <v>172.93377699999999</v>
      </c>
      <c r="AL12" s="14">
        <v>178.98391699999999</v>
      </c>
      <c r="AM12" s="14">
        <v>185.120758</v>
      </c>
      <c r="AN12" s="14">
        <v>190.489441</v>
      </c>
      <c r="AO12" s="14">
        <v>196.30952500000001</v>
      </c>
      <c r="AP12" s="14">
        <v>202.81832900000001</v>
      </c>
      <c r="AQ12" s="14">
        <v>208.989563</v>
      </c>
      <c r="AR12" s="14">
        <v>214.80311599999999</v>
      </c>
      <c r="AS12" s="14">
        <v>221.61247299999999</v>
      </c>
      <c r="AT12" s="14">
        <v>229.16989100000001</v>
      </c>
      <c r="AU12" s="14">
        <v>236.81308000000001</v>
      </c>
      <c r="AV12" s="14">
        <v>244.05921900000001</v>
      </c>
    </row>
    <row r="13" spans="1:48" x14ac:dyDescent="0.35">
      <c r="A13" s="6" t="s">
        <v>37</v>
      </c>
      <c r="B13" s="6">
        <f t="shared" si="0"/>
        <v>38.26</v>
      </c>
      <c r="C13" s="6">
        <f t="shared" si="0"/>
        <v>54.57</v>
      </c>
      <c r="D13" s="6">
        <f t="shared" si="1"/>
        <v>65.16</v>
      </c>
      <c r="E13" s="6">
        <f t="shared" si="2"/>
        <v>72.44</v>
      </c>
      <c r="F13" s="6">
        <f t="shared" si="3"/>
        <v>96.94</v>
      </c>
      <c r="G13" s="6">
        <f t="shared" si="4"/>
        <v>61.74</v>
      </c>
      <c r="H13" s="6">
        <f t="shared" si="5"/>
        <v>79.61</v>
      </c>
      <c r="I13" s="6">
        <f t="shared" si="6"/>
        <v>111.26</v>
      </c>
      <c r="J13" s="6">
        <f t="shared" si="7"/>
        <v>111.63</v>
      </c>
      <c r="K13" s="6">
        <f t="shared" si="7"/>
        <v>108.56</v>
      </c>
      <c r="L13" s="6">
        <f t="shared" si="8"/>
        <v>98.97</v>
      </c>
      <c r="M13" s="6">
        <f t="shared" si="9"/>
        <v>52.32</v>
      </c>
      <c r="N13" s="6">
        <f t="shared" ref="N13:N19" si="10">N$2</f>
        <v>43.64</v>
      </c>
      <c r="O13" s="15">
        <v>54.151001000000001</v>
      </c>
      <c r="P13" s="15">
        <v>74.429001</v>
      </c>
      <c r="Q13" s="15">
        <v>75.063004000000006</v>
      </c>
      <c r="R13" s="15">
        <v>77.148781</v>
      </c>
      <c r="S13" s="15">
        <v>80.468941000000001</v>
      </c>
      <c r="T13" s="15">
        <v>82.477271999999999</v>
      </c>
      <c r="U13" s="15">
        <v>86.573234999999997</v>
      </c>
      <c r="V13" s="15">
        <v>92.241028</v>
      </c>
      <c r="W13" s="15">
        <v>97.226166000000006</v>
      </c>
      <c r="X13" s="15">
        <v>103.252098</v>
      </c>
      <c r="Y13" s="15">
        <v>108.871307</v>
      </c>
      <c r="Z13" s="15">
        <v>113.76338200000001</v>
      </c>
      <c r="AA13" s="15">
        <v>118.676323</v>
      </c>
      <c r="AB13" s="15">
        <v>123.545815</v>
      </c>
      <c r="AC13" s="15">
        <v>128.430328</v>
      </c>
      <c r="AD13" s="15">
        <v>133.366028</v>
      </c>
      <c r="AE13" s="15">
        <v>138.34072900000001</v>
      </c>
      <c r="AF13" s="15">
        <v>143.338562</v>
      </c>
      <c r="AG13" s="15">
        <v>148.38800000000001</v>
      </c>
      <c r="AH13" s="15">
        <v>153.48461900000001</v>
      </c>
      <c r="AI13" s="15">
        <v>158.58805799999999</v>
      </c>
      <c r="AJ13" s="15">
        <v>163.692566</v>
      </c>
      <c r="AK13" s="15">
        <v>168.80641199999999</v>
      </c>
      <c r="AL13" s="15">
        <v>173.94075000000001</v>
      </c>
      <c r="AM13" s="15">
        <v>179.10041799999999</v>
      </c>
      <c r="AN13" s="15">
        <v>184.25718699999999</v>
      </c>
      <c r="AO13" s="15">
        <v>189.44558699999999</v>
      </c>
      <c r="AP13" s="15">
        <v>194.63145399999999</v>
      </c>
      <c r="AQ13" s="15">
        <v>199.829285</v>
      </c>
      <c r="AR13" s="15">
        <v>205.002106</v>
      </c>
      <c r="AS13" s="15">
        <v>210.17541499999999</v>
      </c>
      <c r="AT13" s="15">
        <v>215.36634799999999</v>
      </c>
      <c r="AU13" s="15">
        <v>220.55384799999999</v>
      </c>
      <c r="AV13" s="15">
        <v>225.735626</v>
      </c>
    </row>
    <row r="14" spans="1:48" x14ac:dyDescent="0.35">
      <c r="A14" s="6" t="s">
        <v>38</v>
      </c>
      <c r="B14" s="6">
        <f t="shared" si="0"/>
        <v>38.26</v>
      </c>
      <c r="C14" s="6">
        <f t="shared" si="0"/>
        <v>54.57</v>
      </c>
      <c r="D14" s="6">
        <f t="shared" si="1"/>
        <v>65.16</v>
      </c>
      <c r="E14" s="6">
        <f t="shared" si="2"/>
        <v>72.44</v>
      </c>
      <c r="F14" s="6">
        <f t="shared" si="3"/>
        <v>96.94</v>
      </c>
      <c r="G14" s="6">
        <f t="shared" si="4"/>
        <v>61.74</v>
      </c>
      <c r="H14" s="6">
        <f t="shared" si="5"/>
        <v>79.61</v>
      </c>
      <c r="I14" s="6">
        <f t="shared" si="6"/>
        <v>111.26</v>
      </c>
      <c r="J14" s="6">
        <f t="shared" si="7"/>
        <v>111.63</v>
      </c>
      <c r="K14" s="6">
        <f t="shared" si="7"/>
        <v>108.56</v>
      </c>
      <c r="L14" s="6">
        <f t="shared" si="8"/>
        <v>98.97</v>
      </c>
      <c r="M14" s="6">
        <f t="shared" si="9"/>
        <v>52.32</v>
      </c>
      <c r="N14" s="6">
        <f t="shared" si="10"/>
        <v>43.64</v>
      </c>
      <c r="O14" s="6">
        <f t="shared" ref="O14:P19" si="11">O$2</f>
        <v>54.13</v>
      </c>
      <c r="P14" s="6">
        <f t="shared" si="11"/>
        <v>71.34</v>
      </c>
      <c r="Q14" s="18">
        <v>63.371997999999998</v>
      </c>
      <c r="R14" s="18">
        <v>59.932999000000002</v>
      </c>
      <c r="S14" s="18">
        <v>64.689864999999998</v>
      </c>
      <c r="T14" s="18">
        <v>68.861427000000006</v>
      </c>
      <c r="U14" s="18">
        <v>72.013762999999997</v>
      </c>
      <c r="V14" s="18">
        <v>75.530227999999994</v>
      </c>
      <c r="W14" s="18">
        <v>79.240425000000002</v>
      </c>
      <c r="X14" s="18">
        <v>83.028533999999993</v>
      </c>
      <c r="Y14" s="18">
        <v>86.475121000000001</v>
      </c>
      <c r="Z14" s="18">
        <v>90.513267999999997</v>
      </c>
      <c r="AA14" s="18">
        <v>94.651404999999997</v>
      </c>
      <c r="AB14" s="18">
        <v>98.288391000000004</v>
      </c>
      <c r="AC14" s="18">
        <v>102.55667099999999</v>
      </c>
      <c r="AD14" s="18">
        <v>106.521652</v>
      </c>
      <c r="AE14" s="18">
        <v>111.479332</v>
      </c>
      <c r="AF14" s="18">
        <v>115.851364</v>
      </c>
      <c r="AG14" s="18">
        <v>120.46687300000001</v>
      </c>
      <c r="AH14" s="18">
        <v>125.41025500000001</v>
      </c>
      <c r="AI14" s="18">
        <v>130.158951</v>
      </c>
      <c r="AJ14" s="18">
        <v>135.32948300000001</v>
      </c>
      <c r="AK14" s="18">
        <v>140.765717</v>
      </c>
      <c r="AL14" s="18">
        <v>146.03994800000001</v>
      </c>
      <c r="AM14" s="18">
        <v>151.26097100000001</v>
      </c>
      <c r="AN14" s="18">
        <v>158.22602800000001</v>
      </c>
      <c r="AO14" s="18">
        <v>163.915482</v>
      </c>
      <c r="AP14" s="18">
        <v>170.23127700000001</v>
      </c>
      <c r="AQ14" s="18">
        <v>176.887756</v>
      </c>
      <c r="AR14" s="18">
        <v>183.427155</v>
      </c>
      <c r="AS14" s="18">
        <v>191.10295099999999</v>
      </c>
      <c r="AT14" s="18">
        <v>198.939514</v>
      </c>
      <c r="AU14" s="18">
        <v>206.79264800000001</v>
      </c>
      <c r="AV14" s="18">
        <v>214.277344</v>
      </c>
    </row>
    <row r="15" spans="1:48" x14ac:dyDescent="0.35">
      <c r="A15" s="6" t="s">
        <v>39</v>
      </c>
      <c r="B15" s="6">
        <f t="shared" si="0"/>
        <v>38.26</v>
      </c>
      <c r="C15" s="6">
        <f t="shared" si="0"/>
        <v>54.57</v>
      </c>
      <c r="D15" s="6">
        <f t="shared" si="1"/>
        <v>65.16</v>
      </c>
      <c r="E15" s="6">
        <f t="shared" si="2"/>
        <v>72.44</v>
      </c>
      <c r="F15" s="6">
        <f t="shared" si="3"/>
        <v>96.94</v>
      </c>
      <c r="G15" s="6">
        <f t="shared" si="4"/>
        <v>61.74</v>
      </c>
      <c r="H15" s="6">
        <f t="shared" si="5"/>
        <v>79.61</v>
      </c>
      <c r="I15" s="6">
        <f t="shared" si="6"/>
        <v>111.26</v>
      </c>
      <c r="J15" s="6">
        <f t="shared" si="7"/>
        <v>111.63</v>
      </c>
      <c r="K15" s="6">
        <f t="shared" si="7"/>
        <v>108.56</v>
      </c>
      <c r="L15" s="6">
        <f t="shared" si="8"/>
        <v>98.97</v>
      </c>
      <c r="M15" s="6">
        <f t="shared" si="9"/>
        <v>52.32</v>
      </c>
      <c r="N15" s="6">
        <f t="shared" si="10"/>
        <v>43.64</v>
      </c>
      <c r="O15" s="6">
        <f t="shared" si="11"/>
        <v>54.13</v>
      </c>
      <c r="P15" s="6">
        <f t="shared" si="11"/>
        <v>71.34</v>
      </c>
      <c r="Q15" s="6">
        <f>Q$2</f>
        <v>64.3</v>
      </c>
      <c r="R15" s="16">
        <v>41.186000999999997</v>
      </c>
      <c r="S15" s="16">
        <v>47.067000999999998</v>
      </c>
      <c r="T15" s="16">
        <v>50.944332000000003</v>
      </c>
      <c r="U15" s="16">
        <v>56.853104000000002</v>
      </c>
      <c r="V15" s="16">
        <v>61.464965999999997</v>
      </c>
      <c r="W15" s="16">
        <v>65.741164999999995</v>
      </c>
      <c r="X15" s="16">
        <v>70.597144999999998</v>
      </c>
      <c r="Y15" s="16">
        <v>74.895163999999994</v>
      </c>
      <c r="Z15" s="16">
        <v>79.556824000000006</v>
      </c>
      <c r="AA15" s="16">
        <v>84.021987999999993</v>
      </c>
      <c r="AB15" s="16">
        <v>88.782539</v>
      </c>
      <c r="AC15" s="16">
        <v>92.990951999999993</v>
      </c>
      <c r="AD15" s="16">
        <v>97.858131</v>
      </c>
      <c r="AE15" s="16">
        <v>101.731178</v>
      </c>
      <c r="AF15" s="16">
        <v>105.69770800000001</v>
      </c>
      <c r="AG15" s="16">
        <v>109.162842</v>
      </c>
      <c r="AH15" s="16">
        <v>113.497246</v>
      </c>
      <c r="AI15" s="16">
        <v>118.18248</v>
      </c>
      <c r="AJ15" s="16">
        <v>122.924004</v>
      </c>
      <c r="AK15" s="16">
        <v>125.920807</v>
      </c>
      <c r="AL15" s="16">
        <v>132.46168499999999</v>
      </c>
      <c r="AM15" s="16">
        <v>137.70674099999999</v>
      </c>
      <c r="AN15" s="16">
        <v>142.16511499999999</v>
      </c>
      <c r="AO15" s="16">
        <v>147.97259500000001</v>
      </c>
      <c r="AP15" s="16">
        <v>153.10218800000001</v>
      </c>
      <c r="AQ15" s="16">
        <v>155.75962799999999</v>
      </c>
      <c r="AR15" s="16">
        <v>163.09445199999999</v>
      </c>
      <c r="AS15" s="16">
        <v>169.01828</v>
      </c>
      <c r="AT15" s="16">
        <v>174.192993</v>
      </c>
      <c r="AU15" s="16">
        <v>179.72056599999999</v>
      </c>
      <c r="AV15" s="16">
        <v>185.44593800000001</v>
      </c>
    </row>
    <row r="16" spans="1:48" x14ac:dyDescent="0.35">
      <c r="A16" s="6" t="s">
        <v>40</v>
      </c>
      <c r="B16" s="6">
        <f t="shared" si="0"/>
        <v>38.26</v>
      </c>
      <c r="C16" s="6">
        <f t="shared" si="0"/>
        <v>54.57</v>
      </c>
      <c r="D16" s="6">
        <f t="shared" si="1"/>
        <v>65.16</v>
      </c>
      <c r="E16" s="6">
        <f t="shared" si="2"/>
        <v>72.44</v>
      </c>
      <c r="F16" s="6">
        <f t="shared" si="3"/>
        <v>96.94</v>
      </c>
      <c r="G16" s="6">
        <f t="shared" si="4"/>
        <v>61.74</v>
      </c>
      <c r="H16" s="6">
        <f t="shared" si="5"/>
        <v>79.61</v>
      </c>
      <c r="I16" s="6">
        <f t="shared" si="6"/>
        <v>111.26</v>
      </c>
      <c r="J16" s="6">
        <f t="shared" si="7"/>
        <v>111.63</v>
      </c>
      <c r="K16" s="6">
        <f t="shared" si="7"/>
        <v>108.56</v>
      </c>
      <c r="L16" s="6">
        <f t="shared" si="8"/>
        <v>98.97</v>
      </c>
      <c r="M16" s="6">
        <f t="shared" si="9"/>
        <v>52.32</v>
      </c>
      <c r="N16" s="6">
        <f t="shared" si="10"/>
        <v>43.64</v>
      </c>
      <c r="O16" s="6">
        <f t="shared" si="11"/>
        <v>54.13</v>
      </c>
      <c r="P16" s="6">
        <f t="shared" si="11"/>
        <v>71.34</v>
      </c>
      <c r="Q16" s="6">
        <f>Q$2</f>
        <v>64.3</v>
      </c>
      <c r="R16" s="6">
        <f>R$2</f>
        <v>41.96</v>
      </c>
      <c r="S16" s="17">
        <v>71.587997000000001</v>
      </c>
      <c r="T16" s="17">
        <v>71.908996999999999</v>
      </c>
      <c r="U16" s="17">
        <v>63.119633</v>
      </c>
      <c r="V16" s="17">
        <v>70.030754000000002</v>
      </c>
      <c r="W16" s="17">
        <v>73.077590999999998</v>
      </c>
      <c r="X16" s="17">
        <v>76.659148999999999</v>
      </c>
      <c r="Y16" s="17">
        <v>80.626732000000004</v>
      </c>
      <c r="Z16" s="17">
        <v>84.434218999999999</v>
      </c>
      <c r="AA16" s="17">
        <v>87.341201999999996</v>
      </c>
      <c r="AB16" s="17">
        <v>91.066528000000005</v>
      </c>
      <c r="AC16" s="17">
        <v>95.058066999999994</v>
      </c>
      <c r="AD16" s="17">
        <v>98.613822999999996</v>
      </c>
      <c r="AE16" s="17">
        <v>101.909042</v>
      </c>
      <c r="AF16" s="17">
        <v>105.137276</v>
      </c>
      <c r="AG16" s="17">
        <v>108.46315</v>
      </c>
      <c r="AH16" s="17">
        <v>112.433739</v>
      </c>
      <c r="AI16" s="17">
        <v>116.328453</v>
      </c>
      <c r="AJ16" s="17">
        <v>120.363411</v>
      </c>
      <c r="AK16" s="17">
        <v>123.48275</v>
      </c>
      <c r="AL16" s="17">
        <v>128.911697</v>
      </c>
      <c r="AM16" s="17">
        <v>133.167023</v>
      </c>
      <c r="AN16" s="17">
        <v>136.71412699999999</v>
      </c>
      <c r="AO16" s="17">
        <v>142.15248099999999</v>
      </c>
      <c r="AP16" s="17">
        <v>148.18592799999999</v>
      </c>
      <c r="AQ16" s="17">
        <v>152.33590699999999</v>
      </c>
      <c r="AR16" s="17">
        <v>158.004425</v>
      </c>
      <c r="AS16" s="17">
        <v>162.371307</v>
      </c>
      <c r="AT16" s="17">
        <v>165.773224</v>
      </c>
      <c r="AU16" s="17">
        <v>169.80813599999999</v>
      </c>
      <c r="AV16" s="17">
        <v>173.077652</v>
      </c>
    </row>
    <row r="17" spans="1:48" x14ac:dyDescent="0.35">
      <c r="A17" s="6" t="s">
        <v>41</v>
      </c>
      <c r="B17" s="6">
        <f t="shared" si="0"/>
        <v>38.26</v>
      </c>
      <c r="C17" s="6">
        <f t="shared" si="0"/>
        <v>54.57</v>
      </c>
      <c r="D17" s="6">
        <f t="shared" si="1"/>
        <v>65.16</v>
      </c>
      <c r="E17" s="6">
        <f t="shared" si="2"/>
        <v>72.44</v>
      </c>
      <c r="F17" s="6">
        <f t="shared" si="3"/>
        <v>96.94</v>
      </c>
      <c r="G17" s="6">
        <f t="shared" si="4"/>
        <v>61.74</v>
      </c>
      <c r="H17" s="6">
        <f t="shared" si="5"/>
        <v>79.61</v>
      </c>
      <c r="I17" s="6">
        <f t="shared" si="6"/>
        <v>111.26</v>
      </c>
      <c r="J17" s="6">
        <f t="shared" si="7"/>
        <v>111.63</v>
      </c>
      <c r="K17" s="6">
        <f t="shared" si="7"/>
        <v>108.56</v>
      </c>
      <c r="L17" s="6">
        <f t="shared" si="8"/>
        <v>98.97</v>
      </c>
      <c r="M17" s="6">
        <f t="shared" si="9"/>
        <v>52.32</v>
      </c>
      <c r="N17" s="6">
        <f t="shared" si="10"/>
        <v>43.64</v>
      </c>
      <c r="O17" s="6">
        <f t="shared" si="11"/>
        <v>54.13</v>
      </c>
      <c r="P17" s="6">
        <f t="shared" si="11"/>
        <v>71.34</v>
      </c>
      <c r="Q17" s="6">
        <f>Q$2</f>
        <v>64.3</v>
      </c>
      <c r="R17" s="6">
        <f>R$2</f>
        <v>41.96</v>
      </c>
      <c r="S17" s="6">
        <f>S$2</f>
        <v>70.86</v>
      </c>
      <c r="T17" s="19">
        <v>102.129997</v>
      </c>
      <c r="U17" s="19">
        <v>95.329002000000003</v>
      </c>
      <c r="V17" s="19">
        <v>98.708404999999999</v>
      </c>
      <c r="W17" s="19">
        <v>94.878890999999996</v>
      </c>
      <c r="X17" s="19">
        <v>97.830475000000007</v>
      </c>
      <c r="Y17" s="19">
        <v>100.425552</v>
      </c>
      <c r="Z17" s="19">
        <v>103.260544</v>
      </c>
      <c r="AA17" s="19">
        <v>106.227829</v>
      </c>
      <c r="AB17" s="19">
        <v>109.43918600000001</v>
      </c>
      <c r="AC17" s="19">
        <v>112.639786</v>
      </c>
      <c r="AD17" s="19">
        <v>116.265869</v>
      </c>
      <c r="AE17" s="19">
        <v>119.61837800000001</v>
      </c>
      <c r="AF17" s="19">
        <v>123.399551</v>
      </c>
      <c r="AG17" s="19">
        <v>127.457848</v>
      </c>
      <c r="AH17" s="19">
        <v>131.21597299999999</v>
      </c>
      <c r="AI17" s="19">
        <v>135.083923</v>
      </c>
      <c r="AJ17" s="19">
        <v>138.85072299999999</v>
      </c>
      <c r="AK17" s="19">
        <v>142.69729599999999</v>
      </c>
      <c r="AL17" s="19">
        <v>146.67823799999999</v>
      </c>
      <c r="AM17" s="19">
        <v>150.81691000000001</v>
      </c>
      <c r="AN17" s="19">
        <v>154.928268</v>
      </c>
      <c r="AO17" s="19">
        <v>159.09347500000001</v>
      </c>
      <c r="AP17" s="19">
        <v>163.57148699999999</v>
      </c>
      <c r="AQ17" s="19">
        <v>167.987595</v>
      </c>
      <c r="AR17" s="19">
        <v>173.312363</v>
      </c>
      <c r="AS17" s="19">
        <v>178.174057</v>
      </c>
      <c r="AT17" s="19">
        <v>183.52430699999999</v>
      </c>
      <c r="AU17" s="19">
        <v>189.210342</v>
      </c>
      <c r="AV17" s="19">
        <v>194.299271</v>
      </c>
    </row>
    <row r="18" spans="1:48" x14ac:dyDescent="0.35">
      <c r="A18" s="6" t="s">
        <v>42</v>
      </c>
      <c r="B18" s="6">
        <f t="shared" si="0"/>
        <v>38.26</v>
      </c>
      <c r="C18" s="6">
        <f t="shared" si="0"/>
        <v>54.57</v>
      </c>
      <c r="D18" s="6">
        <f t="shared" si="1"/>
        <v>65.16</v>
      </c>
      <c r="E18" s="6">
        <f t="shared" si="2"/>
        <v>72.44</v>
      </c>
      <c r="F18" s="6">
        <f t="shared" si="3"/>
        <v>96.94</v>
      </c>
      <c r="G18" s="6">
        <f t="shared" si="4"/>
        <v>61.74</v>
      </c>
      <c r="H18" s="6">
        <f t="shared" si="5"/>
        <v>79.61</v>
      </c>
      <c r="I18" s="6">
        <f t="shared" si="6"/>
        <v>111.26</v>
      </c>
      <c r="J18" s="6">
        <f t="shared" si="7"/>
        <v>111.63</v>
      </c>
      <c r="K18" s="6">
        <f t="shared" si="7"/>
        <v>108.56</v>
      </c>
      <c r="L18" s="6">
        <f t="shared" si="8"/>
        <v>98.97</v>
      </c>
      <c r="M18" s="6">
        <f t="shared" si="9"/>
        <v>52.32</v>
      </c>
      <c r="N18" s="6">
        <f t="shared" si="10"/>
        <v>43.64</v>
      </c>
      <c r="O18" s="6">
        <f t="shared" si="11"/>
        <v>54.13</v>
      </c>
      <c r="P18" s="6">
        <f t="shared" si="11"/>
        <v>71.34</v>
      </c>
      <c r="Q18" s="6">
        <f>Q$2</f>
        <v>64.3</v>
      </c>
      <c r="R18" s="6">
        <f>R$2</f>
        <v>41.96</v>
      </c>
      <c r="S18" s="6">
        <f>S$2</f>
        <v>70.86</v>
      </c>
      <c r="T18" s="6">
        <f>T$2</f>
        <v>100.93</v>
      </c>
      <c r="U18" s="6">
        <f>U$2</f>
        <v>82.49</v>
      </c>
      <c r="V18" s="8">
        <v>80.488998413085938</v>
      </c>
      <c r="W18" s="8">
        <v>73.574989318847656</v>
      </c>
      <c r="X18" s="8">
        <v>84.519729614257813</v>
      </c>
      <c r="Y18" s="8">
        <v>84.795089721679688</v>
      </c>
      <c r="Z18" s="8">
        <v>85.736221313476563</v>
      </c>
      <c r="AA18" s="8">
        <v>86.9779052734375</v>
      </c>
      <c r="AB18" s="8">
        <v>88.935951232910156</v>
      </c>
      <c r="AC18" s="8">
        <v>91.409988403320313</v>
      </c>
      <c r="AD18" s="8">
        <v>92.723358154296875</v>
      </c>
      <c r="AE18" s="8">
        <v>96.444694519042969</v>
      </c>
      <c r="AF18" s="8">
        <v>99.462928771972656</v>
      </c>
      <c r="AG18" s="8">
        <v>102.0284881591797</v>
      </c>
      <c r="AH18" s="8">
        <v>104.49864196777339</v>
      </c>
      <c r="AI18" s="8">
        <v>107.4534072875977</v>
      </c>
      <c r="AJ18" s="8">
        <v>110.0635223388672</v>
      </c>
      <c r="AK18" s="8">
        <v>113.1640090942383</v>
      </c>
      <c r="AL18" s="8">
        <v>116.2481155395508</v>
      </c>
      <c r="AM18" s="8">
        <v>119.257942199707</v>
      </c>
      <c r="AN18" s="8">
        <v>121.6253662109375</v>
      </c>
      <c r="AO18" s="8">
        <v>126.220344543457</v>
      </c>
      <c r="AP18" s="8">
        <v>129.0058898925781</v>
      </c>
      <c r="AQ18" s="8">
        <v>132.63243103027341</v>
      </c>
      <c r="AR18" s="8">
        <v>136.33183288574219</v>
      </c>
      <c r="AS18" s="8">
        <v>143.57914733886719</v>
      </c>
      <c r="AT18" s="8">
        <v>147.83906555175781</v>
      </c>
      <c r="AU18" s="8">
        <v>152.63197326660159</v>
      </c>
      <c r="AV18" s="8">
        <v>156.6481628417969</v>
      </c>
    </row>
    <row r="19" spans="1:48" x14ac:dyDescent="0.35">
      <c r="A19" t="s">
        <v>65</v>
      </c>
      <c r="B19" s="6">
        <f t="shared" si="0"/>
        <v>38.26</v>
      </c>
      <c r="C19" s="6">
        <f t="shared" si="0"/>
        <v>54.57</v>
      </c>
      <c r="D19" s="6">
        <f t="shared" si="1"/>
        <v>65.16</v>
      </c>
      <c r="E19" s="6">
        <f t="shared" si="2"/>
        <v>72.44</v>
      </c>
      <c r="F19" s="6">
        <f t="shared" si="3"/>
        <v>96.94</v>
      </c>
      <c r="G19" s="6">
        <f t="shared" si="4"/>
        <v>61.74</v>
      </c>
      <c r="H19" s="6">
        <f t="shared" si="5"/>
        <v>79.61</v>
      </c>
      <c r="I19" s="6">
        <f t="shared" si="6"/>
        <v>111.26</v>
      </c>
      <c r="J19" s="6">
        <f t="shared" si="7"/>
        <v>111.63</v>
      </c>
      <c r="K19" s="6">
        <f t="shared" si="7"/>
        <v>108.56</v>
      </c>
      <c r="L19" s="6">
        <f t="shared" si="8"/>
        <v>98.97</v>
      </c>
      <c r="M19" s="6">
        <f t="shared" si="9"/>
        <v>52.32</v>
      </c>
      <c r="N19" s="6">
        <f t="shared" si="10"/>
        <v>43.64</v>
      </c>
      <c r="O19" s="6">
        <f t="shared" si="11"/>
        <v>54.13</v>
      </c>
      <c r="P19" s="6">
        <f t="shared" si="11"/>
        <v>71.34</v>
      </c>
      <c r="Q19" s="6">
        <f>Q$2</f>
        <v>64.3</v>
      </c>
      <c r="R19" s="6">
        <f>R$2</f>
        <v>41.96</v>
      </c>
      <c r="S19" s="6">
        <f>S$2</f>
        <v>70.86</v>
      </c>
      <c r="T19" s="6">
        <f>T$2</f>
        <v>100.93</v>
      </c>
      <c r="U19" s="6">
        <f>U$2</f>
        <v>82.49</v>
      </c>
      <c r="V19" s="8">
        <v>80.488998413085938</v>
      </c>
      <c r="W19" s="6">
        <v>68.758003000000002</v>
      </c>
      <c r="X19" s="6">
        <v>54.921000999999997</v>
      </c>
      <c r="Y19" s="6">
        <v>61.690207999999998</v>
      </c>
      <c r="Z19" s="6">
        <v>67.345055000000002</v>
      </c>
      <c r="AA19" s="6">
        <v>71.601906</v>
      </c>
      <c r="AB19" s="6">
        <v>74.840384999999998</v>
      </c>
      <c r="AC19" s="6">
        <v>76.702065000000005</v>
      </c>
      <c r="AD19" s="6">
        <v>78.974022000000005</v>
      </c>
      <c r="AE19" s="6">
        <v>82.574653999999995</v>
      </c>
      <c r="AF19" s="6">
        <v>86.105582999999996</v>
      </c>
      <c r="AG19" s="6">
        <v>88.940749999999994</v>
      </c>
      <c r="AH19" s="6">
        <v>92.004608000000005</v>
      </c>
      <c r="AI19" s="6">
        <v>95.497887000000006</v>
      </c>
      <c r="AJ19" s="6">
        <v>98.667061000000004</v>
      </c>
      <c r="AK19" s="6">
        <v>101.44635</v>
      </c>
      <c r="AL19" s="6">
        <v>104.040665</v>
      </c>
      <c r="AM19" s="6">
        <v>107.472008</v>
      </c>
      <c r="AN19" s="6">
        <v>110.39767500000001</v>
      </c>
      <c r="AO19" s="6">
        <v>114.150459</v>
      </c>
      <c r="AP19" s="6">
        <v>117.979561</v>
      </c>
      <c r="AQ19" s="6">
        <v>122.506973</v>
      </c>
      <c r="AR19" s="6">
        <v>126.52842699999999</v>
      </c>
      <c r="AS19" s="6">
        <v>130.56184400000001</v>
      </c>
      <c r="AT19" s="6">
        <v>134.752579</v>
      </c>
      <c r="AU19" s="6">
        <v>138.61244199999999</v>
      </c>
      <c r="AV19" s="6">
        <v>143.37510700000001</v>
      </c>
    </row>
    <row r="39" spans="2:22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aleach</dc:creator>
  <cp:lastModifiedBy>Andrew Leach</cp:lastModifiedBy>
  <dcterms:created xsi:type="dcterms:W3CDTF">2025-08-11T23:26:41Z</dcterms:created>
  <dcterms:modified xsi:type="dcterms:W3CDTF">2026-07-16T21:04:13Z</dcterms:modified>
</cp:coreProperties>
</file>